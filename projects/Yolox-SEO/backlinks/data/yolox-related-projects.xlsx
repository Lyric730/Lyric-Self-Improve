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数据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<sst xmlns="http://schemas.openxmlformats.org/spreadsheetml/2006/main" count="7" uniqueCount="7">
  <si>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 xml:space="preserve">  </t>
  </si>
  <si>
    <t/>
    <r>
      <rPr>
        <u/>
        <sz val="9.75"/>
        <color theme="10"/>
        <rFont val="Calibri"/>
        <family val="2"/>
      </rPr>
      <t>https://sintra.ai/</t>
    </r>
  </si>
  <si>
    <t/>
    <r>
      <rPr>
        <u/>
        <sz val="9.75"/>
        <color theme="10"/>
        <rFont val="Calibri"/>
        <family val="2"/>
      </rPr>
      <t>https://gooseworks.ai/</t>
    </r>
  </si>
  <si>
    <t/>
    <r>
      <rPr>
        <u/>
        <sz val="9.75"/>
        <color theme="10"/>
        <rFont val="Calibri"/>
        <family val="2"/>
      </rPr>
      <t>https://www.accio.com/</t>
    </r>
  </si>
  <si>
    <t/>
    <r>
      <rPr>
        <u/>
        <sz val="9.75"/>
        <color theme="10"/>
        <rFont val="Calibri"/>
        <family val="2"/>
      </rPr>
      <t>https://okara.ai/</t>
    </r>
  </si>
  <si>
    <t/>
    <r>
      <rPr>
        <u/>
        <sz val="9.75"/>
        <color theme="10"/>
        <rFont val="Calibri"/>
        <family val="2"/>
      </rPr>
      <t>https://helio.im/</t>
    </r>
  </si>
  <si>
    <t/>
    <r>
      <rPr>
        <u/>
        <sz val="9.75"/>
        <color theme="10"/>
        <rFont val="Calibri"/>
        <family val="2"/>
      </rPr>
      <t>https://moxt.ai/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</si>
</sst>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"/>
      <sz val="11"/>
      <color rgb="FF1265BE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false" applyBorder="false" applyFill="false" applyFont="true" applyNumberFormat="false" applyProtection="false" borderId="3" fillId="0" fontId="3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helio.im/" Type="http://schemas.openxmlformats.org/officeDocument/2006/relationships/hyperlink" TargetMode="External"></Relationship><Relationship Id="rId2" Target="https://moxt.ai/" Type="http://schemas.openxmlformats.org/officeDocument/2006/relationships/hyperlink" TargetMode="External"></Relationship><Relationship Id="rId3" Target="https://sintra.ai/" Type="http://schemas.openxmlformats.org/officeDocument/2006/relationships/hyperlink" TargetMode="External"></Relationship><Relationship Id="rId4" Target="https://gooseworks.ai/" Type="http://schemas.openxmlformats.org/officeDocument/2006/relationships/hyperlink" TargetMode="External"></Relationship><Relationship Id="rId5" Target="https://www.accio.com/" Type="http://schemas.openxmlformats.org/officeDocument/2006/relationships/hyperlink" TargetMode="External"></Relationship><Relationship Id="rId6" Target="https://okara.ai/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1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3" r="1">
      <c r="A1" t="str">
        <v>项目名</v>
      </c>
      <c r="B1" t="str">
        <v>链接</v>
      </c>
      <c r="C1" t="str">
        <v>简介</v>
      </c>
      <c r="D1" t="str">
        <v>类别</v>
      </c>
      <c r="E1" t="str">
        <v>用户引导</v>
      </c>
    </row>
    <row customHeight="true" ht="25" r="2">
      <c r="A2" s="2" t="str">
        <v>Max Claw</v>
      </c>
      <c r="B2" s="3">
        <f>HYPERLINK("https://agent.minimax.io/max-claw", "https://agent.minimax.io/max-claw")</f>
      </c>
      <c r="C2" s="2" t="str" xml:space="preserve">
        <v>1. 基于MiniMax自研模型M2.5等 2. 支持多模态（文本/语音/视频/图像/音乐） 3. 一站式Agent构建平台 </v>
      </c>
      <c r="D2" s="2" t="str">
        <v>一键部署</v>
      </c>
      <c r="E2" s="2"/>
    </row>
    <row customHeight="true" ht="25" r="3">
      <c r="A3" s="2" t="str">
        <v>Kimi Claw</v>
      </c>
      <c r="B3" s="3">
        <f>HYPERLINK("https://www.kimi.com/bot", "https://www.kimi.com/bot")</f>
      </c>
      <c r="C3" s="2" t="str" xml:space="preserve">
        <v>Kimi的24/7 AI助手，具备长期记忆和自动化能力   。1. 全天候AI助手 2. 长期记忆能力 3. 自动化任务执行                                 </v>
      </c>
      <c r="D3" s="2" t="str">
        <v>一键部署</v>
      </c>
      <c r="E3" s="2"/>
    </row>
    <row customHeight="true" ht="25" r="4">
      <c r="A4" s="2" t="str">
        <v>HappyCapy</v>
      </c>
      <c r="B4" s="3">
        <f>HYPERLINK("https://happycapy.ai/app", "https://happycapy.ai/app")</f>
      </c>
      <c r="C4" s="2" t="str" xml:space="preserve">
        <v>Agent原生云端计算机 。1. Agent原生架构 2. 开发者友好 3. 云端代码执行环境                                     </v>
      </c>
      <c r="D4" s="2" t="str">
        <v>云端电脑</v>
      </c>
      <c r="E4" s="2"/>
    </row>
    <row customHeight="true" ht="25" r="5">
      <c r="A5" s="2" t="str">
        <v>Perplexity Computer</v>
      </c>
      <c r="B5" s="3">
        <f>HYPERLINK("https://www.perplexity.ai/computer", "https://www.perplexity.ai/computer")</f>
      </c>
      <c r="C5" s="2" t="str">
        <v>AI能做到的一切，Perplexity Computer都能替你完成  。 1. 支持多步骤复杂任务执行 2. 文件处理与连接器集成</v>
      </c>
      <c r="D5" s="2" t="str">
        <v>云端电脑</v>
      </c>
      <c r="E5" s="2"/>
    </row>
    <row customHeight="true" ht="25" r="6">
      <c r="A6" s="2" t="str">
        <v>Teamily</v>
      </c>
      <c r="B6" s="3">
        <f>HYPERLINK("https://teamily.ai/", "https://teamily.ai/")</f>
      </c>
      <c r="C6" s="2" t="str" xml:space="preserve">
        <v>多 Agent 协作 | 首个"人+AI"社交网络，AI原生即时通讯工具 1. 人类与AI协作的社交网络 2. 即时通讯场景 3. 团队协作导向                                                        </v>
      </c>
      <c r="D6" s="2" t="str">
        <v>多 Agent 协作</v>
      </c>
      <c r="E6" s="2"/>
    </row>
    <row customHeight="true" ht="25" r="7">
      <c r="A7" s="2" t="str">
        <v>GetViktor</v>
      </c>
      <c r="B7" s="3">
        <f>HYPERLINK("https://getviktor.com/", "https://getviktor.com/")</f>
      </c>
      <c r="C7" s="2" t="str" xml:space="preserve">
        <v>集成到Slack/Teams的AI同事，能写代码、部署应用、连接3000+工具。1. 自主运行数周不丢失上下文 2. 写代码并部署应用 3. 3000+工具集成，主动发现问题 </v>
      </c>
      <c r="D7" s="2" t="str">
        <v>AI 员工</v>
      </c>
      <c r="E7" s="2"/>
    </row>
    <row customHeight="true" ht="25" r="8">
      <c r="A8" s="2" t="str">
        <v>Claude Cowork</v>
      </c>
      <c r="B8" s="3">
        <f>HYPERLINK("https://support.claude.com/en/articles/13345190-get-started-with-cowork", "https://support.claude.com/en/articles/13345190-get-started-with-cowork")</f>
      </c>
      <c r="C8" s="2" t="str" xml:space="preserve">
        <v>Claude桌面版的Agentic能力，用于编码之外的知识工作。1. 使用Claude Code的Agent架构 2. 支持定时任务  </v>
      </c>
      <c r="D8" s="2" t="str">
        <v>个人助理</v>
      </c>
      <c r="E8" s="2"/>
    </row>
    <row customHeight="true" ht="25" r="9">
      <c r="A9" s="2" t="str">
        <v>Larrybrain</v>
      </c>
      <c r="B9" s="3">
        <f>HYPERLINK("https://www.larrybrain.com/", "https://www.larrybrain.com/")</f>
      </c>
      <c r="C9" s="2" t="str" xml:space="preserve">
        <v>1. 专为OpenClaw Agent设计 2. Skill发布与分发平台 3. 安全审核机制 </v>
      </c>
      <c r="D9" s="2" t="str">
        <v>Skill 市场</v>
      </c>
      <c r="E9" s="2"/>
    </row>
    <row customHeight="true" ht="25" r="10">
      <c r="A10" s="2" t="str">
        <v>skills.sh</v>
      </c>
      <c r="B10" s="3">
        <f>HYPERLINK("https://skills.sh/", "https://skills.sh/")</f>
      </c>
      <c r="C10" s="2" t="str" xml:space="preserve">
        <v>开放的Agent Skill生态目录 </v>
      </c>
      <c r="D10" s="2" t="str">
        <v>Skill 市场</v>
      </c>
      <c r="E10" s="2"/>
    </row>
    <row customHeight="true" ht="25" r="11">
      <c r="A11" s="2" t="str" xml:space="preserve">
        <v> openfang</v>
      </c>
      <c r="B11" s="3">
        <f>HYPERLINK("https://github.com/RightNow-AI/openfang", "https://github.com/RightNow-AI/openfang")</f>
      </c>
      <c r="C11" s="2" t="str" xml:space="preserve">
        <v>Rust构建的开源Agent操作系统。1. 137K LOC，14 crates，单二进制文件~32MB 2. "Hands"自主能力包（预置自动化任务）3. 知识图谱构建与OSINT情报收集 </v>
      </c>
      <c r="D11" s="2" t="str">
        <v>AgentOS</v>
      </c>
      <c r="E11" s="2"/>
    </row>
    <row customHeight="true" ht="25" r="12">
      <c r="A12" s="2" t="str">
        <v>Nanoclaw</v>
      </c>
      <c r="B12" s="3">
        <f>HYPERLINK("https://github.com/qwibitai/nanoclaw?tab=readme-ov-file", "https://github.com/qwibitai/nanoclaw?tab=readme-ov-file")</f>
      </c>
      <c r="C12" s="2" t="str" xml:space="preserve">
        <v>OpenClaw的轻量级替代，容器化安全隔离. 1. 代码量极小（可完全理解）2. Linux容器隔离（Apple Container/Docker）3. 首个支持Agent Swarms的个人助手         </v>
      </c>
      <c r="D12" s="2" t="str">
        <v>AgentOS</v>
      </c>
      <c r="E12" s="2"/>
    </row>
    <row customHeight="true" ht="25" r="13">
      <c r="A13" s="2" t="str">
        <v>CoPaw</v>
      </c>
      <c r="B13" s="3">
        <f>HYPERLINK("https://github.com/agentscope-ai/CoPaw", "https://github.com/agentscope-ai/CoPaw")</f>
      </c>
      <c r="C13" s="2" t="str">
        <v>易安装的个人AI助手，支持多聊天平台.1. 支持钉钉/飞书/QQ/Discord/iMessage等 2. 一键安装脚本 3. 内置定时任务与Skill扩展</v>
      </c>
      <c r="D13" s="2" t="str">
        <v>个人助理</v>
      </c>
      <c r="E13" s="2"/>
    </row>
    <row customHeight="true" ht="25" r="14">
      <c r="A14" s="2" t="str">
        <v>zeroclaw</v>
      </c>
      <c r="B14" s="3">
        <f>HYPERLINK("https://github.com/zeroclaw-labs/zeroclaw", "https://github.com/zeroclaw-labs/zeroclaw")</f>
      </c>
      <c r="C14" s="2" t="str" xml:space="preserve">
        <v> 快速、小巧、完全自主的AI助手基础设施.1. &lt;5MB RAM即可运行（比OpenClaw省99%内存）2. 100% Rust， trait驱动架构 3. 模型/渠道/工具可替换（pluggable everything）</v>
      </c>
      <c r="D14" s="2" t="str">
        <v>AgentOS</v>
      </c>
      <c r="E14" s="2"/>
    </row>
    <row customHeight="true" ht="25" r="15">
      <c r="A15" s="2" t="str">
        <v>ClawHub</v>
      </c>
      <c r="B15" s="3">
        <f>HYPERLINK("https://clawhub.ai/", "https://clawhub.ai/")</f>
      </c>
      <c r="C15" s="2" t="str">
        <v>OpenClaw 官方社区Skill 市场</v>
      </c>
      <c r="D15" s="2" t="str">
        <v>Skill 市场</v>
      </c>
      <c r="E15" s="2"/>
    </row>
    <row customHeight="true" ht="25" r="16">
      <c r="A16" s="2" t="str">
        <v>Slock</v>
      </c>
      <c r="B16" s="3">
        <f>HYPERLINK("https://slock.ai/", "https://slock.ai/")</f>
      </c>
      <c r="C16" s="2"/>
      <c r="D16" s="2"/>
      <c r="E16" s="2"/>
    </row>
    <row customHeight="true" ht="25" r="17">
      <c r="A17" s="2" t="str">
        <v>Lobehub</v>
      </c>
      <c r="B17" s="3">
        <f>HYPERLINK("https://app.lobehub.com/", "https://app.lobehub.com/")</f>
      </c>
      <c r="C17" s="2"/>
      <c r="D17" s="2"/>
      <c r="E17" s="2" t="str">
        <v>问卷式引导</v>
      </c>
    </row>
    <row customHeight="true" ht="25" r="18">
      <c r="A18" s="2" t="str">
        <v>Janai</v>
      </c>
      <c r="B18" s="3">
        <f>HYPERLINK("https://www.jan.ai/", "https://www.jan.ai/")</f>
      </c>
      <c r="C18" s="2"/>
      <c r="D18" s="2"/>
      <c r="E18" s="2"/>
    </row>
    <row customHeight="true" ht="25" r="19">
      <c r="A19" s="2" t="str">
        <v>paperclip</v>
      </c>
      <c r="B19" s="3">
        <f>HYPERLINK("https://paperclip.ing/", "https://paperclip.ing/")</f>
      </c>
      <c r="C19" s="2"/>
      <c r="D19" s="2" t="str">
        <v>多 Agent 协作</v>
      </c>
      <c r="E19" s="2"/>
    </row>
    <row customHeight="true" ht="15" r="20">
      <c r="A20" s="1" t="str">
        <v>Goosework</v>
      </c>
      <c r="B20" s="1" t="s">
        <v>2</v>
      </c>
    </row>
    <row r="21">
      <c r="A21" s="1" t="str">
        <v>Moxt</v>
      </c>
      <c r="B21" s="1" t="s">
        <v>6</v>
      </c>
    </row>
    <row r="22">
      <c r="A22" s="1" t="str">
        <v>Sintra</v>
      </c>
      <c r="B22" s="1" t="s">
        <v>1</v>
      </c>
    </row>
    <row r="23">
      <c r="A23" s="1" t="str">
        <v>Okara</v>
      </c>
      <c r="B23" s="1" t="s">
        <v>4</v>
      </c>
    </row>
    <row r="24">
      <c r="A24" s="1" t="str">
        <v>Helio</v>
      </c>
      <c r="B24" s="1" t="s">
        <v>5</v>
      </c>
    </row>
    <row r="25">
      <c r="A25" s="1" t="str">
        <v>Accio work</v>
      </c>
      <c r="B25" s="1" t="s">
        <v>3</v>
      </c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</sheetData>
  <dataValidations count="2">
    <dataValidation allowBlank="true" errorStyle="stop" showErrorMessage="true" sqref="E2:E18" type="list">
      <formula1>"无引导,问卷式引导"</formula1>
    </dataValidation>
    <dataValidation allowBlank="true" errorStyle="stop" showErrorMessage="true" sqref="D2:D18" type="list">
      <formula1>"一键部署,云端电脑,多 Agent,多 Agent 社交,AI 员工,生产力工具,Skill 市场,开源框架,个人助理,多 Agent 协作,AgentOS"</formula1>
    </dataValidation>
  </dataValidations>
  <hyperlinks>
    <hyperlink ref="B24" display="https://helio.im/" r:id="rId1"/>
    <hyperlink ref="B21" display="https://moxt.ai/" r:id="rId2"/>
    <hyperlink ref="B22" display="https://sintra.ai/" r:id="rId3"/>
    <hyperlink ref="B20" display="https://gooseworks.ai/" r:id="rId4"/>
    <hyperlink ref="B25" display="https://www.accio.com/" r:id="rId5"/>
    <hyperlink ref="B23" display="https://okara.ai/" r:id="rId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